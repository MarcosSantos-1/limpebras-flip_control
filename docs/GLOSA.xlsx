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lip_control\docs\"/>
    </mc:Choice>
  </mc:AlternateContent>
  <xr:revisionPtr revIDLastSave="0" documentId="8_{A6FB349C-EE78-45F0-9B16-96C2BD2BB8F8}" xr6:coauthVersionLast="47" xr6:coauthVersionMax="47" xr10:uidLastSave="{00000000-0000-0000-0000-000000000000}"/>
  <bookViews>
    <workbookView xWindow="11400" yWindow="-16320" windowWidth="29040" windowHeight="15720" xr2:uid="{5586EAC6-568F-413E-B51A-537B04907C83}"/>
  </bookViews>
  <sheets>
    <sheet name="Projeção Glosa A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5" i="1"/>
</calcChain>
</file>

<file path=xl/sharedStrings.xml><?xml version="1.0" encoding="utf-8"?>
<sst xmlns="http://schemas.openxmlformats.org/spreadsheetml/2006/main" count="39" uniqueCount="24">
  <si>
    <t xml:space="preserve">ANEXO I - ITEM 10 - CRITÉRIOS DE DESEMPENHO DA CONTRATADA - ADC </t>
  </si>
  <si>
    <t>PONTUAÇÃO  ADC</t>
  </si>
  <si>
    <t xml:space="preserve">% DESCONTO </t>
  </si>
  <si>
    <t>RÉGUA DE DESCONTO</t>
  </si>
  <si>
    <r>
      <t>70≤ ADC≤ 89</t>
    </r>
    <r>
      <rPr>
        <sz val="14"/>
        <rFont val="Arial"/>
        <family val="2"/>
      </rPr>
      <t xml:space="preserve">     </t>
    </r>
    <r>
      <rPr>
        <sz val="11"/>
        <rFont val="Arial"/>
        <family val="2"/>
      </rPr>
      <t>95%  (limite máximo de desconto)</t>
    </r>
    <r>
      <rPr>
        <sz val="14"/>
        <rFont val="Arial"/>
        <family val="2"/>
      </rPr>
      <t xml:space="preserve"> </t>
    </r>
  </si>
  <si>
    <r>
      <t>50 ≤ ADC ≤ 69</t>
    </r>
    <r>
      <rPr>
        <sz val="14"/>
        <rFont val="Arial"/>
        <family val="2"/>
      </rPr>
      <t xml:space="preserve">      </t>
    </r>
    <r>
      <rPr>
        <sz val="11"/>
        <rFont val="Arial"/>
        <family val="2"/>
      </rPr>
      <t>90 % (limite máximo de desconto)</t>
    </r>
    <r>
      <rPr>
        <sz val="14"/>
        <rFont val="Arial"/>
        <family val="2"/>
      </rPr>
      <t xml:space="preserve"> </t>
    </r>
  </si>
  <si>
    <t>FAIXAS DE DESCONTO X %</t>
  </si>
  <si>
    <r>
      <t>70≤ ADC≤ 89</t>
    </r>
    <r>
      <rPr>
        <b/>
        <sz val="14"/>
        <rFont val="Arial"/>
        <family val="2"/>
      </rPr>
      <t xml:space="preserve">   </t>
    </r>
    <r>
      <rPr>
        <b/>
        <sz val="14"/>
        <color rgb="FFFF0000"/>
        <rFont val="Arial"/>
        <family val="2"/>
      </rPr>
      <t xml:space="preserve">  </t>
    </r>
    <r>
      <rPr>
        <b/>
        <sz val="11"/>
        <color rgb="FFFF0000"/>
        <rFont val="Arial"/>
        <family val="2"/>
      </rPr>
      <t>95%  (limite máximo de desconto)</t>
    </r>
    <r>
      <rPr>
        <b/>
        <sz val="14"/>
        <rFont val="Arial"/>
        <family val="2"/>
      </rPr>
      <t xml:space="preserve"> </t>
    </r>
  </si>
  <si>
    <t xml:space="preserve">0,20% por ponto abaixo de 89 até o limite de 95% </t>
  </si>
  <si>
    <t>Pontuação</t>
  </si>
  <si>
    <t>%</t>
  </si>
  <si>
    <t xml:space="preserve">% total </t>
  </si>
  <si>
    <t>TOTAL DE DESCONTO</t>
  </si>
  <si>
    <r>
      <t>50 ≤ ADC ≤ 69</t>
    </r>
    <r>
      <rPr>
        <b/>
        <sz val="14"/>
        <rFont val="Arial"/>
        <family val="2"/>
      </rPr>
      <t xml:space="preserve">      </t>
    </r>
    <r>
      <rPr>
        <b/>
        <sz val="11"/>
        <rFont val="Arial"/>
        <family val="2"/>
      </rPr>
      <t>90 % (limite máximo de desconto)</t>
    </r>
    <r>
      <rPr>
        <b/>
        <sz val="14"/>
        <rFont val="Arial"/>
        <family val="2"/>
      </rPr>
      <t xml:space="preserve"> </t>
    </r>
  </si>
  <si>
    <t>0,25% por ponto abaixo de 69 até o limite de 90 %</t>
  </si>
  <si>
    <r>
      <t>30 ≤ ADC≤ 49</t>
    </r>
    <r>
      <rPr>
        <b/>
        <sz val="14"/>
        <rFont val="Arial"/>
        <family val="2"/>
      </rPr>
      <t xml:space="preserve">      </t>
    </r>
    <r>
      <rPr>
        <b/>
        <sz val="11"/>
        <rFont val="Arial"/>
        <family val="2"/>
      </rPr>
      <t>80% (limite máximo de desconto)</t>
    </r>
    <r>
      <rPr>
        <b/>
        <sz val="14"/>
        <rFont val="Arial"/>
        <family val="2"/>
      </rPr>
      <t xml:space="preserve"> </t>
    </r>
  </si>
  <si>
    <t>0,5% por ponto abaixo de 49 até o limite de 80%</t>
  </si>
  <si>
    <r>
      <t>menos de 30 pontos ADC</t>
    </r>
    <r>
      <rPr>
        <b/>
        <sz val="14"/>
        <rFont val="Arial"/>
        <family val="2"/>
      </rPr>
      <t xml:space="preserve">      70</t>
    </r>
    <r>
      <rPr>
        <b/>
        <sz val="11"/>
        <rFont val="Arial"/>
        <family val="2"/>
      </rPr>
      <t>% (limite máximo de desconto)</t>
    </r>
    <r>
      <rPr>
        <b/>
        <sz val="14"/>
        <rFont val="Arial"/>
        <family val="2"/>
      </rPr>
      <t xml:space="preserve"> </t>
    </r>
  </si>
  <si>
    <t>VALOR GLOSA LIMPEBRAS</t>
  </si>
  <si>
    <r>
      <t>70≤ ADC≤ 89</t>
    </r>
    <r>
      <rPr>
        <sz val="14"/>
        <color theme="1"/>
        <rFont val="Arial"/>
        <family val="2"/>
      </rPr>
      <t xml:space="preserve">     </t>
    </r>
    <r>
      <rPr>
        <sz val="11"/>
        <color theme="1"/>
        <rFont val="Arial"/>
        <family val="2"/>
      </rPr>
      <t>95%  (limite máximo de desconto)</t>
    </r>
    <r>
      <rPr>
        <sz val="14"/>
        <color theme="1"/>
        <rFont val="Arial"/>
        <family val="2"/>
      </rPr>
      <t xml:space="preserve"> </t>
    </r>
  </si>
  <si>
    <r>
      <t>50 ≤ ADC ≤ 69</t>
    </r>
    <r>
      <rPr>
        <sz val="14"/>
        <color theme="1"/>
        <rFont val="Arial"/>
        <family val="2"/>
      </rPr>
      <t xml:space="preserve">      </t>
    </r>
    <r>
      <rPr>
        <sz val="11"/>
        <color theme="1"/>
        <rFont val="Arial"/>
        <family val="2"/>
      </rPr>
      <t>90 % (limite máximo de desconto)</t>
    </r>
    <r>
      <rPr>
        <sz val="14"/>
        <color theme="1"/>
        <rFont val="Arial"/>
        <family val="2"/>
      </rPr>
      <t xml:space="preserve"> </t>
    </r>
  </si>
  <si>
    <r>
      <t>30 ≤ ADC≤ 49</t>
    </r>
    <r>
      <rPr>
        <sz val="14"/>
        <color theme="1"/>
        <rFont val="Arial"/>
        <family val="2"/>
      </rPr>
      <t xml:space="preserve">      </t>
    </r>
    <r>
      <rPr>
        <sz val="11"/>
        <color theme="1"/>
        <rFont val="Arial"/>
        <family val="2"/>
      </rPr>
      <t>80% (limite máximo de desconto)</t>
    </r>
    <r>
      <rPr>
        <sz val="14"/>
        <color theme="1"/>
        <rFont val="Arial"/>
        <family val="2"/>
      </rPr>
      <t xml:space="preserve"> </t>
    </r>
  </si>
  <si>
    <r>
      <t>menos de 30 pontos ADC</t>
    </r>
    <r>
      <rPr>
        <sz val="14"/>
        <color theme="1"/>
        <rFont val="Arial"/>
        <family val="2"/>
      </rPr>
      <t xml:space="preserve">  </t>
    </r>
    <r>
      <rPr>
        <sz val="11"/>
        <color theme="1"/>
        <rFont val="Arial"/>
        <family val="2"/>
      </rPr>
      <t>70% (limite máximo de desconto)</t>
    </r>
    <r>
      <rPr>
        <sz val="14"/>
        <color theme="1"/>
        <rFont val="Arial"/>
        <family val="2"/>
      </rPr>
      <t xml:space="preserve"> </t>
    </r>
  </si>
  <si>
    <r>
      <t>90≤ ADC≤ 100</t>
    </r>
    <r>
      <rPr>
        <sz val="14"/>
        <rFont val="Arial"/>
        <family val="2"/>
      </rPr>
      <t xml:space="preserve">     </t>
    </r>
    <r>
      <rPr>
        <sz val="12"/>
        <rFont val="Arial"/>
        <family val="2"/>
      </rPr>
      <t>100% do valor mensal previsto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</si>
</sst>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$&quot;\ #,##0.00"/>
    <numFmt numFmtId="165" formatCode="&quot;R$&quot;#,##0.00;[Red]\-&quot;R$&quot;#,##0.00"/>
    <numFmt numFmtId="166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4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/>
    </xf>
    <xf numFmtId="9" fontId="8" fillId="0" borderId="1" xfId="2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4" fontId="0" fillId="0" borderId="0" xfId="0" applyNumberFormat="1"/>
    <xf numFmtId="165" fontId="12" fillId="0" borderId="5" xfId="0" applyNumberFormat="1" applyFont="1" applyBorder="1"/>
    <xf numFmtId="165" fontId="12" fillId="0" borderId="6" xfId="0" applyNumberFormat="1" applyFont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9" fontId="2" fillId="0" borderId="12" xfId="0" applyNumberFormat="1" applyFont="1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9" fontId="16" fillId="0" borderId="9" xfId="0" applyNumberFormat="1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9" fontId="16" fillId="0" borderId="12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9" fontId="0" fillId="0" borderId="12" xfId="0" applyNumberFormat="1" applyBorder="1" applyAlignment="1">
      <alignment horizontal="center"/>
    </xf>
    <xf numFmtId="0" fontId="17" fillId="0" borderId="1" xfId="0" applyFont="1" applyBorder="1" applyAlignment="1">
      <alignment horizontal="center"/>
    </xf>
    <xf numFmtId="9" fontId="17" fillId="0" borderId="1" xfId="2" applyFont="1" applyBorder="1" applyAlignment="1">
      <alignment horizont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6" fontId="17" fillId="0" borderId="1" xfId="2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6" fontId="8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65" fontId="8" fillId="0" borderId="8" xfId="0" applyNumberFormat="1" applyFont="1" applyBorder="1" applyAlignment="1">
      <alignment horizontal="left"/>
    </xf>
    <xf numFmtId="165" fontId="8" fillId="0" borderId="0" xfId="0" applyNumberFormat="1" applyFont="1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65" fontId="8" fillId="0" borderId="8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A103-5441-436D-B209-BC5A11C683F6}">
  <dimension ref="B1:W97"/>
  <sheetViews>
    <sheetView tabSelected="1" zoomScaleNormal="100" workbookViewId="0">
      <selection activeCell="D3" sqref="D3"/>
    </sheetView>
  </sheetViews>
  <sheetFormatPr defaultRowHeight="14.4" x14ac:dyDescent="0.3"/>
  <cols>
    <col min="1" max="1" width="3.6640625" customWidth="1"/>
    <col min="2" max="2" width="20.44140625" customWidth="1"/>
    <col min="3" max="3" width="18.33203125" customWidth="1"/>
    <col min="4" max="4" width="34.5546875" bestFit="1" customWidth="1"/>
    <col min="5" max="5" width="59.109375" bestFit="1" customWidth="1"/>
    <col min="6" max="6" width="29.44140625" customWidth="1"/>
    <col min="7" max="7" width="61.33203125" customWidth="1"/>
    <col min="8" max="8" width="28" customWidth="1"/>
  </cols>
  <sheetData>
    <row r="1" spans="2:23" ht="23.4" x14ac:dyDescent="0.45">
      <c r="B1" s="54" t="s">
        <v>0</v>
      </c>
      <c r="C1" s="54"/>
      <c r="D1" s="54"/>
      <c r="E1" s="54"/>
      <c r="F1" s="54"/>
      <c r="G1" s="5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3" ht="21" x14ac:dyDescent="0.4"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21" x14ac:dyDescent="0.4">
      <c r="B3" s="55" t="s">
        <v>1</v>
      </c>
      <c r="C3" s="56" t="s">
        <v>2</v>
      </c>
      <c r="D3" s="3" t="s">
        <v>18</v>
      </c>
      <c r="E3" s="56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3" s="4" customFormat="1" ht="15.6" x14ac:dyDescent="0.3">
      <c r="B4" s="55"/>
      <c r="C4" s="56"/>
      <c r="D4" s="53">
        <v>14573274.23</v>
      </c>
      <c r="E4" s="56"/>
    </row>
    <row r="5" spans="2:23" s="10" customFormat="1" ht="17.399999999999999" x14ac:dyDescent="0.3">
      <c r="B5" s="5">
        <v>90</v>
      </c>
      <c r="C5" s="6">
        <v>0</v>
      </c>
      <c r="D5" s="7">
        <f>D4</f>
        <v>14573274.23</v>
      </c>
      <c r="E5" s="9" t="s">
        <v>23</v>
      </c>
    </row>
    <row r="6" spans="2:23" s="10" customFormat="1" ht="17.399999999999999" x14ac:dyDescent="0.3">
      <c r="B6" s="5">
        <v>85</v>
      </c>
      <c r="C6" s="6">
        <v>0.01</v>
      </c>
      <c r="D6" s="8">
        <f>D4*1/100</f>
        <v>145732.74230000001</v>
      </c>
      <c r="E6" s="9" t="s">
        <v>4</v>
      </c>
    </row>
    <row r="7" spans="2:23" s="10" customFormat="1" ht="17.399999999999999" x14ac:dyDescent="0.3">
      <c r="B7" s="5">
        <v>84</v>
      </c>
      <c r="C7" s="51">
        <v>1.2E-2</v>
      </c>
      <c r="D7" s="8">
        <f>D4*1.2/100</f>
        <v>174879.29076</v>
      </c>
      <c r="E7" s="9" t="s">
        <v>4</v>
      </c>
      <c r="F7" s="50"/>
    </row>
    <row r="8" spans="2:23" ht="17.399999999999999" x14ac:dyDescent="0.3">
      <c r="B8" s="11">
        <v>80</v>
      </c>
      <c r="C8" s="52">
        <v>0.02</v>
      </c>
      <c r="D8" s="8">
        <f>D4*2/100</f>
        <v>291465.48460000003</v>
      </c>
      <c r="E8" s="9" t="s">
        <v>4</v>
      </c>
      <c r="F8" s="50"/>
    </row>
    <row r="9" spans="2:23" ht="17.399999999999999" x14ac:dyDescent="0.3">
      <c r="B9" s="11">
        <v>75</v>
      </c>
      <c r="C9" s="12">
        <v>0.03</v>
      </c>
      <c r="D9" s="8">
        <f>D4*3/100</f>
        <v>437198.22689999995</v>
      </c>
      <c r="E9" s="9" t="s">
        <v>4</v>
      </c>
    </row>
    <row r="10" spans="2:23" ht="17.399999999999999" x14ac:dyDescent="0.3">
      <c r="B10" s="45">
        <v>70</v>
      </c>
      <c r="C10" s="46">
        <v>0.04</v>
      </c>
      <c r="D10" s="7">
        <f>D4*4/100</f>
        <v>582930.96920000005</v>
      </c>
      <c r="E10" s="47" t="s">
        <v>19</v>
      </c>
    </row>
    <row r="11" spans="2:23" ht="17.399999999999999" x14ac:dyDescent="0.3">
      <c r="B11" s="11">
        <v>66</v>
      </c>
      <c r="C11" s="12">
        <v>0.05</v>
      </c>
      <c r="D11" s="8">
        <f>D4*5/100</f>
        <v>728663.71150000009</v>
      </c>
      <c r="E11" s="13" t="s">
        <v>5</v>
      </c>
    </row>
    <row r="12" spans="2:23" ht="17.399999999999999" x14ac:dyDescent="0.3">
      <c r="B12" s="11">
        <v>62</v>
      </c>
      <c r="C12" s="12">
        <v>0.06</v>
      </c>
      <c r="D12" s="8">
        <f>D4*6/100</f>
        <v>874396.4537999999</v>
      </c>
      <c r="E12" s="13" t="s">
        <v>5</v>
      </c>
    </row>
    <row r="13" spans="2:23" ht="17.399999999999999" x14ac:dyDescent="0.3">
      <c r="B13" s="11">
        <v>58</v>
      </c>
      <c r="C13" s="12">
        <v>7.0000000000000007E-2</v>
      </c>
      <c r="D13" s="8">
        <f>D4*7/100</f>
        <v>1020129.1960999999</v>
      </c>
      <c r="E13" s="13" t="s">
        <v>5</v>
      </c>
    </row>
    <row r="14" spans="2:23" ht="17.399999999999999" x14ac:dyDescent="0.3">
      <c r="B14" s="11">
        <v>54</v>
      </c>
      <c r="C14" s="12">
        <v>0.08</v>
      </c>
      <c r="D14" s="8">
        <f>D4*8/100</f>
        <v>1165861.9384000001</v>
      </c>
      <c r="E14" s="13" t="s">
        <v>5</v>
      </c>
    </row>
    <row r="15" spans="2:23" ht="17.399999999999999" x14ac:dyDescent="0.3">
      <c r="B15" s="45">
        <v>50</v>
      </c>
      <c r="C15" s="46">
        <v>0.09</v>
      </c>
      <c r="D15" s="7">
        <f>D4*9/100</f>
        <v>1311594.6807000001</v>
      </c>
      <c r="E15" s="48" t="s">
        <v>20</v>
      </c>
    </row>
    <row r="16" spans="2:23" ht="17.399999999999999" x14ac:dyDescent="0.3">
      <c r="B16" s="45">
        <v>49</v>
      </c>
      <c r="C16" s="49">
        <v>9.5000000000000001E-2</v>
      </c>
      <c r="D16" s="7">
        <f>D4*9.5/100</f>
        <v>1384461.0518499999</v>
      </c>
      <c r="E16" s="48" t="s">
        <v>21</v>
      </c>
    </row>
    <row r="17" spans="2:7" ht="17.399999999999999" x14ac:dyDescent="0.3">
      <c r="B17" s="45">
        <v>48</v>
      </c>
      <c r="C17" s="46">
        <v>0.1</v>
      </c>
      <c r="D17" s="7">
        <f>D4*10/100</f>
        <v>1457327.4230000002</v>
      </c>
      <c r="E17" s="48" t="s">
        <v>21</v>
      </c>
    </row>
    <row r="18" spans="2:7" ht="17.399999999999999" x14ac:dyDescent="0.3">
      <c r="B18" s="45">
        <v>38</v>
      </c>
      <c r="C18" s="46">
        <v>0.15</v>
      </c>
      <c r="D18" s="7">
        <f>D4*15/100</f>
        <v>2185991.1345000002</v>
      </c>
      <c r="E18" s="48" t="s">
        <v>21</v>
      </c>
    </row>
    <row r="19" spans="2:7" ht="17.399999999999999" x14ac:dyDescent="0.3">
      <c r="B19" s="45">
        <v>30</v>
      </c>
      <c r="C19" s="46">
        <v>0.19</v>
      </c>
      <c r="D19" s="7">
        <f>D4*19/100</f>
        <v>2768922.1036999999</v>
      </c>
      <c r="E19" s="48" t="s">
        <v>21</v>
      </c>
    </row>
    <row r="20" spans="2:7" ht="17.399999999999999" x14ac:dyDescent="0.3">
      <c r="B20" s="45">
        <v>29</v>
      </c>
      <c r="C20" s="46">
        <v>0.3</v>
      </c>
      <c r="D20" s="7">
        <f>D4*30/100</f>
        <v>4371982.2690000003</v>
      </c>
      <c r="E20" s="48" t="s">
        <v>22</v>
      </c>
    </row>
    <row r="21" spans="2:7" ht="15" thickBot="1" x14ac:dyDescent="0.35"/>
    <row r="22" spans="2:7" ht="18.600000000000001" thickBot="1" x14ac:dyDescent="0.4">
      <c r="B22" s="57" t="s">
        <v>6</v>
      </c>
      <c r="C22" s="58"/>
      <c r="D22" s="59"/>
      <c r="E22" s="14"/>
      <c r="F22" s="14"/>
      <c r="G22" s="15"/>
    </row>
    <row r="23" spans="2:7" ht="17.399999999999999" x14ac:dyDescent="0.3">
      <c r="B23" s="16" t="s">
        <v>7</v>
      </c>
      <c r="C23" s="17"/>
      <c r="D23" s="18"/>
      <c r="E23" s="19"/>
      <c r="F23" s="19"/>
      <c r="G23" s="19"/>
    </row>
    <row r="24" spans="2:7" x14ac:dyDescent="0.3">
      <c r="B24" s="60" t="s">
        <v>8</v>
      </c>
      <c r="C24" s="61"/>
      <c r="D24" s="20"/>
      <c r="E24" s="19"/>
      <c r="F24" s="19"/>
      <c r="G24" s="19"/>
    </row>
    <row r="25" spans="2:7" x14ac:dyDescent="0.3">
      <c r="B25" s="21" t="s">
        <v>9</v>
      </c>
      <c r="C25" s="22" t="s">
        <v>10</v>
      </c>
      <c r="D25" s="23" t="s">
        <v>11</v>
      </c>
      <c r="E25" s="22"/>
      <c r="F25" s="22"/>
      <c r="G25" s="19"/>
    </row>
    <row r="26" spans="2:7" x14ac:dyDescent="0.3">
      <c r="B26" s="24">
        <v>89</v>
      </c>
      <c r="C26" s="19">
        <v>0.2</v>
      </c>
      <c r="D26" s="20"/>
      <c r="E26" s="19"/>
      <c r="F26" s="19"/>
      <c r="G26" s="19"/>
    </row>
    <row r="27" spans="2:7" x14ac:dyDescent="0.3">
      <c r="B27" s="24">
        <v>88</v>
      </c>
      <c r="C27" s="19">
        <v>0.2</v>
      </c>
      <c r="D27" s="20"/>
      <c r="E27" s="19"/>
      <c r="F27" s="19"/>
      <c r="G27" s="19"/>
    </row>
    <row r="28" spans="2:7" x14ac:dyDescent="0.3">
      <c r="B28" s="24">
        <v>87</v>
      </c>
      <c r="C28" s="19">
        <v>0.2</v>
      </c>
      <c r="D28" s="20"/>
      <c r="E28" s="19"/>
      <c r="F28" s="19"/>
      <c r="G28" s="19"/>
    </row>
    <row r="29" spans="2:7" x14ac:dyDescent="0.3">
      <c r="B29" s="24">
        <v>86</v>
      </c>
      <c r="C29" s="19">
        <v>0.2</v>
      </c>
      <c r="D29" s="20"/>
      <c r="E29" s="19"/>
      <c r="F29" s="19"/>
      <c r="G29" s="19"/>
    </row>
    <row r="30" spans="2:7" x14ac:dyDescent="0.3">
      <c r="B30" s="24">
        <v>85</v>
      </c>
      <c r="C30" s="19">
        <v>0.2</v>
      </c>
      <c r="D30" s="20">
        <v>1</v>
      </c>
      <c r="E30" s="19"/>
      <c r="F30" s="19"/>
      <c r="G30" s="19"/>
    </row>
    <row r="31" spans="2:7" x14ac:dyDescent="0.3">
      <c r="B31" s="24">
        <v>84</v>
      </c>
      <c r="C31" s="19">
        <v>0.2</v>
      </c>
      <c r="D31" s="25"/>
      <c r="E31" s="26"/>
      <c r="F31" s="26"/>
      <c r="G31" s="19"/>
    </row>
    <row r="32" spans="2:7" x14ac:dyDescent="0.3">
      <c r="B32" s="24">
        <v>83</v>
      </c>
      <c r="C32" s="19">
        <v>0.2</v>
      </c>
      <c r="D32" s="20"/>
      <c r="E32" s="19"/>
      <c r="F32" s="19"/>
      <c r="G32" s="19"/>
    </row>
    <row r="33" spans="2:7" x14ac:dyDescent="0.3">
      <c r="B33" s="24">
        <v>82</v>
      </c>
      <c r="C33" s="19">
        <v>0.2</v>
      </c>
      <c r="D33" s="20"/>
      <c r="E33" s="19"/>
      <c r="F33" s="19"/>
      <c r="G33" s="19"/>
    </row>
    <row r="34" spans="2:7" x14ac:dyDescent="0.3">
      <c r="B34" s="24">
        <v>81</v>
      </c>
      <c r="C34" s="19">
        <v>0.2</v>
      </c>
      <c r="D34" s="20"/>
      <c r="E34" s="19"/>
      <c r="F34" s="19"/>
      <c r="G34" s="19"/>
    </row>
    <row r="35" spans="2:7" x14ac:dyDescent="0.3">
      <c r="B35" s="24">
        <v>80</v>
      </c>
      <c r="C35" s="19">
        <v>0.2</v>
      </c>
      <c r="D35" s="20">
        <v>2</v>
      </c>
      <c r="E35" s="19"/>
      <c r="F35" s="19"/>
      <c r="G35" s="19"/>
    </row>
    <row r="36" spans="2:7" x14ac:dyDescent="0.3">
      <c r="B36" s="24">
        <v>79</v>
      </c>
      <c r="C36" s="19">
        <v>0.2</v>
      </c>
      <c r="D36" s="25"/>
      <c r="E36" s="26"/>
      <c r="F36" s="26"/>
      <c r="G36" s="19"/>
    </row>
    <row r="37" spans="2:7" x14ac:dyDescent="0.3">
      <c r="B37" s="24">
        <v>78</v>
      </c>
      <c r="C37" s="19">
        <v>0.2</v>
      </c>
      <c r="D37" s="20"/>
      <c r="E37" s="19"/>
      <c r="F37" s="19"/>
      <c r="G37" s="19"/>
    </row>
    <row r="38" spans="2:7" x14ac:dyDescent="0.3">
      <c r="B38" s="24">
        <v>77</v>
      </c>
      <c r="C38" s="19">
        <v>0.2</v>
      </c>
      <c r="D38" s="20"/>
      <c r="E38" s="19"/>
      <c r="F38" s="19"/>
      <c r="G38" s="19"/>
    </row>
    <row r="39" spans="2:7" x14ac:dyDescent="0.3">
      <c r="B39" s="24">
        <v>76</v>
      </c>
      <c r="C39" s="19">
        <v>0.2</v>
      </c>
      <c r="D39" s="20"/>
      <c r="E39" s="19"/>
      <c r="F39" s="19"/>
      <c r="G39" s="19"/>
    </row>
    <row r="40" spans="2:7" x14ac:dyDescent="0.3">
      <c r="B40" s="24">
        <v>75</v>
      </c>
      <c r="C40" s="19">
        <v>0.2</v>
      </c>
      <c r="D40" s="20">
        <v>3</v>
      </c>
      <c r="E40" s="19"/>
      <c r="F40" s="19"/>
      <c r="G40" s="19"/>
    </row>
    <row r="41" spans="2:7" x14ac:dyDescent="0.3">
      <c r="B41" s="24">
        <v>74</v>
      </c>
      <c r="C41" s="26">
        <v>0.2</v>
      </c>
      <c r="D41" s="25"/>
      <c r="E41" s="26"/>
      <c r="F41" s="26"/>
      <c r="G41" s="19"/>
    </row>
    <row r="42" spans="2:7" x14ac:dyDescent="0.3">
      <c r="B42" s="24">
        <v>73</v>
      </c>
      <c r="C42" s="27">
        <v>0.2</v>
      </c>
      <c r="D42" s="25"/>
      <c r="E42" s="26"/>
      <c r="F42" s="26"/>
      <c r="G42" s="19"/>
    </row>
    <row r="43" spans="2:7" x14ac:dyDescent="0.3">
      <c r="B43" s="24">
        <v>72</v>
      </c>
      <c r="C43" s="27">
        <v>0.2</v>
      </c>
      <c r="D43" s="25"/>
      <c r="E43" s="26"/>
      <c r="F43" s="26"/>
      <c r="G43" s="19"/>
    </row>
    <row r="44" spans="2:7" x14ac:dyDescent="0.3">
      <c r="B44" s="24">
        <v>71</v>
      </c>
      <c r="C44" s="27">
        <v>0.2</v>
      </c>
      <c r="D44" s="25"/>
      <c r="E44" s="26"/>
      <c r="F44" s="26"/>
      <c r="G44" s="19"/>
    </row>
    <row r="45" spans="2:7" x14ac:dyDescent="0.3">
      <c r="B45" s="24">
        <v>70</v>
      </c>
      <c r="C45" s="27">
        <v>0.2</v>
      </c>
      <c r="D45" s="28">
        <v>4</v>
      </c>
      <c r="E45" s="27"/>
      <c r="F45" s="27"/>
      <c r="G45" s="19"/>
    </row>
    <row r="46" spans="2:7" ht="15" thickBot="1" x14ac:dyDescent="0.35">
      <c r="B46" s="62" t="s">
        <v>12</v>
      </c>
      <c r="C46" s="63"/>
      <c r="D46" s="29">
        <v>0.04</v>
      </c>
      <c r="E46" s="26"/>
      <c r="F46" s="26"/>
      <c r="G46" s="19"/>
    </row>
    <row r="47" spans="2:7" ht="15" thickBot="1" x14ac:dyDescent="0.35">
      <c r="C47" s="19"/>
      <c r="D47" s="19"/>
      <c r="E47" s="19"/>
      <c r="F47" s="19"/>
      <c r="G47" s="19"/>
    </row>
    <row r="48" spans="2:7" ht="17.399999999999999" x14ac:dyDescent="0.3">
      <c r="B48" s="16" t="s">
        <v>13</v>
      </c>
      <c r="C48" s="17"/>
      <c r="D48" s="18"/>
      <c r="E48" s="19"/>
      <c r="F48" s="19"/>
      <c r="G48" s="19"/>
    </row>
    <row r="49" spans="2:7" x14ac:dyDescent="0.3">
      <c r="B49" s="64" t="s">
        <v>14</v>
      </c>
      <c r="C49" s="65"/>
      <c r="D49" s="30"/>
      <c r="G49" s="19"/>
    </row>
    <row r="50" spans="2:7" x14ac:dyDescent="0.3">
      <c r="B50" s="21" t="s">
        <v>9</v>
      </c>
      <c r="C50" s="22" t="s">
        <v>10</v>
      </c>
      <c r="D50" s="23" t="s">
        <v>11</v>
      </c>
      <c r="E50" s="22"/>
      <c r="F50" s="22"/>
      <c r="G50" s="19"/>
    </row>
    <row r="51" spans="2:7" x14ac:dyDescent="0.3">
      <c r="B51" s="31">
        <v>69</v>
      </c>
      <c r="C51" s="19">
        <v>0.25</v>
      </c>
      <c r="D51" s="20"/>
      <c r="E51" s="19"/>
      <c r="F51" s="19"/>
      <c r="G51" s="19"/>
    </row>
    <row r="52" spans="2:7" x14ac:dyDescent="0.3">
      <c r="B52" s="31">
        <v>68</v>
      </c>
      <c r="C52" s="19">
        <v>0.25</v>
      </c>
      <c r="D52" s="20"/>
      <c r="E52" s="19"/>
      <c r="F52" s="19"/>
      <c r="G52" s="19"/>
    </row>
    <row r="53" spans="2:7" x14ac:dyDescent="0.3">
      <c r="B53" s="31">
        <v>67</v>
      </c>
      <c r="C53" s="19">
        <v>0.25</v>
      </c>
      <c r="D53" s="20"/>
      <c r="E53" s="19"/>
      <c r="F53" s="19"/>
      <c r="G53" s="19"/>
    </row>
    <row r="54" spans="2:7" x14ac:dyDescent="0.3">
      <c r="B54" s="31">
        <v>66</v>
      </c>
      <c r="C54" s="19">
        <v>0.25</v>
      </c>
      <c r="D54" s="32">
        <v>0.05</v>
      </c>
      <c r="E54" s="19"/>
      <c r="F54" s="19"/>
      <c r="G54" s="19"/>
    </row>
    <row r="55" spans="2:7" x14ac:dyDescent="0.3">
      <c r="B55" s="31">
        <v>65</v>
      </c>
      <c r="C55" s="19">
        <v>0.25</v>
      </c>
      <c r="D55" s="33"/>
      <c r="E55" s="34"/>
      <c r="F55" s="34"/>
      <c r="G55" s="19"/>
    </row>
    <row r="56" spans="2:7" x14ac:dyDescent="0.3">
      <c r="B56" s="31">
        <v>64</v>
      </c>
      <c r="C56" s="19">
        <v>0.25</v>
      </c>
      <c r="D56" s="20"/>
      <c r="E56" s="19"/>
      <c r="F56" s="19"/>
      <c r="G56" s="19"/>
    </row>
    <row r="57" spans="2:7" x14ac:dyDescent="0.3">
      <c r="B57" s="31">
        <v>63</v>
      </c>
      <c r="C57" s="19">
        <v>0.25</v>
      </c>
      <c r="D57" s="20"/>
      <c r="E57" s="19"/>
      <c r="F57" s="19"/>
      <c r="G57" s="19"/>
    </row>
    <row r="58" spans="2:7" x14ac:dyDescent="0.3">
      <c r="B58" s="31">
        <v>62</v>
      </c>
      <c r="C58" s="19">
        <v>0.25</v>
      </c>
      <c r="D58" s="32">
        <v>0.06</v>
      </c>
      <c r="E58" s="19"/>
      <c r="F58" s="19"/>
      <c r="G58" s="19"/>
    </row>
    <row r="59" spans="2:7" x14ac:dyDescent="0.3">
      <c r="B59" s="31">
        <v>61</v>
      </c>
      <c r="C59" s="19">
        <v>0.25</v>
      </c>
      <c r="D59" s="20"/>
      <c r="E59" s="19"/>
      <c r="F59" s="19"/>
      <c r="G59" s="19"/>
    </row>
    <row r="60" spans="2:7" x14ac:dyDescent="0.3">
      <c r="B60" s="31">
        <v>60</v>
      </c>
      <c r="C60" s="19">
        <v>0.25</v>
      </c>
      <c r="D60" s="33"/>
      <c r="E60" s="34"/>
      <c r="F60" s="34"/>
      <c r="G60" s="19"/>
    </row>
    <row r="61" spans="2:7" x14ac:dyDescent="0.3">
      <c r="B61" s="31">
        <v>59</v>
      </c>
      <c r="C61" s="19">
        <v>0.25</v>
      </c>
      <c r="D61" s="20"/>
      <c r="E61" s="19"/>
      <c r="F61" s="19"/>
      <c r="G61" s="19"/>
    </row>
    <row r="62" spans="2:7" x14ac:dyDescent="0.3">
      <c r="B62" s="31">
        <v>58</v>
      </c>
      <c r="C62" s="19">
        <v>0.25</v>
      </c>
      <c r="D62" s="32">
        <v>7.0000000000000007E-2</v>
      </c>
      <c r="E62" s="19"/>
      <c r="F62" s="19"/>
      <c r="G62" s="19"/>
    </row>
    <row r="63" spans="2:7" x14ac:dyDescent="0.3">
      <c r="B63" s="31">
        <v>57</v>
      </c>
      <c r="C63" s="19">
        <v>0.25</v>
      </c>
      <c r="D63" s="20"/>
      <c r="E63" s="19"/>
      <c r="F63" s="19"/>
      <c r="G63" s="19"/>
    </row>
    <row r="64" spans="2:7" x14ac:dyDescent="0.3">
      <c r="B64" s="31">
        <v>56</v>
      </c>
      <c r="C64" s="19">
        <v>0.25</v>
      </c>
      <c r="D64" s="20"/>
      <c r="E64" s="19"/>
      <c r="F64" s="19"/>
      <c r="G64" s="19"/>
    </row>
    <row r="65" spans="2:7" x14ac:dyDescent="0.3">
      <c r="B65" s="31">
        <v>55</v>
      </c>
      <c r="C65" s="19">
        <v>0.25</v>
      </c>
      <c r="D65" s="33"/>
      <c r="E65" s="34"/>
      <c r="F65" s="34"/>
      <c r="G65" s="19"/>
    </row>
    <row r="66" spans="2:7" x14ac:dyDescent="0.3">
      <c r="B66" s="31">
        <v>54</v>
      </c>
      <c r="C66" s="19">
        <v>0.25</v>
      </c>
      <c r="D66" s="32">
        <v>0.08</v>
      </c>
      <c r="E66" s="19"/>
      <c r="F66" s="19"/>
      <c r="G66" s="19"/>
    </row>
    <row r="67" spans="2:7" x14ac:dyDescent="0.3">
      <c r="B67" s="31">
        <v>53</v>
      </c>
      <c r="C67" s="19">
        <v>0.25</v>
      </c>
      <c r="D67" s="20"/>
      <c r="E67" s="19"/>
      <c r="F67" s="19"/>
      <c r="G67" s="19"/>
    </row>
    <row r="68" spans="2:7" x14ac:dyDescent="0.3">
      <c r="B68" s="31">
        <v>52</v>
      </c>
      <c r="C68" s="19">
        <v>0.25</v>
      </c>
      <c r="D68" s="20"/>
      <c r="E68" s="19"/>
      <c r="F68" s="19"/>
      <c r="G68" s="19"/>
    </row>
    <row r="69" spans="2:7" x14ac:dyDescent="0.3">
      <c r="B69" s="31">
        <v>51</v>
      </c>
      <c r="C69" s="19">
        <v>0.25</v>
      </c>
      <c r="D69" s="20"/>
      <c r="E69" s="19"/>
      <c r="F69" s="19"/>
      <c r="G69" s="19"/>
    </row>
    <row r="70" spans="2:7" ht="15" thickBot="1" x14ac:dyDescent="0.35">
      <c r="B70" s="35">
        <v>50</v>
      </c>
      <c r="C70" s="36">
        <v>0.25</v>
      </c>
      <c r="D70" s="37">
        <v>0.09</v>
      </c>
      <c r="E70" s="26"/>
      <c r="F70" s="26"/>
      <c r="G70" s="19"/>
    </row>
    <row r="71" spans="2:7" ht="15" thickBot="1" x14ac:dyDescent="0.35">
      <c r="B71" s="19"/>
      <c r="C71" s="19"/>
      <c r="D71" s="26"/>
      <c r="E71" s="26"/>
      <c r="F71" s="26"/>
      <c r="G71" s="19"/>
    </row>
    <row r="72" spans="2:7" ht="17.399999999999999" x14ac:dyDescent="0.3">
      <c r="B72" s="16" t="s">
        <v>15</v>
      </c>
      <c r="C72" s="17"/>
      <c r="D72" s="18"/>
      <c r="E72" s="19"/>
      <c r="F72" s="19"/>
      <c r="G72" s="19"/>
    </row>
    <row r="73" spans="2:7" x14ac:dyDescent="0.3">
      <c r="B73" s="64" t="s">
        <v>16</v>
      </c>
      <c r="C73" s="65"/>
      <c r="D73" s="30"/>
    </row>
    <row r="74" spans="2:7" x14ac:dyDescent="0.3">
      <c r="B74" s="21" t="s">
        <v>9</v>
      </c>
      <c r="C74" s="22" t="s">
        <v>10</v>
      </c>
      <c r="D74" s="23" t="s">
        <v>11</v>
      </c>
      <c r="E74" s="22"/>
      <c r="F74" s="22"/>
    </row>
    <row r="75" spans="2:7" x14ac:dyDescent="0.3">
      <c r="B75" s="38">
        <v>49</v>
      </c>
      <c r="C75" s="19">
        <v>0.5</v>
      </c>
      <c r="D75" s="30"/>
    </row>
    <row r="76" spans="2:7" x14ac:dyDescent="0.3">
      <c r="B76" s="38">
        <v>48</v>
      </c>
      <c r="C76" s="19">
        <v>0.5</v>
      </c>
      <c r="D76" s="39">
        <v>0.1</v>
      </c>
    </row>
    <row r="77" spans="2:7" x14ac:dyDescent="0.3">
      <c r="B77" s="38">
        <v>47</v>
      </c>
      <c r="C77" s="19">
        <v>0.5</v>
      </c>
      <c r="D77" s="20"/>
    </row>
    <row r="78" spans="2:7" x14ac:dyDescent="0.3">
      <c r="B78" s="38">
        <v>46</v>
      </c>
      <c r="C78" s="19">
        <v>0.5</v>
      </c>
      <c r="D78" s="40">
        <v>0.11</v>
      </c>
    </row>
    <row r="79" spans="2:7" x14ac:dyDescent="0.3">
      <c r="B79" s="38">
        <v>45</v>
      </c>
      <c r="C79" s="19">
        <v>0.5</v>
      </c>
      <c r="D79" s="25"/>
      <c r="E79" s="26"/>
      <c r="F79" s="26"/>
    </row>
    <row r="80" spans="2:7" x14ac:dyDescent="0.3">
      <c r="B80" s="38">
        <v>44</v>
      </c>
      <c r="C80" s="19">
        <v>0.5</v>
      </c>
      <c r="D80" s="40">
        <v>0.12</v>
      </c>
    </row>
    <row r="81" spans="2:6" x14ac:dyDescent="0.3">
      <c r="B81" s="38">
        <v>43</v>
      </c>
      <c r="C81" s="19">
        <v>0.5</v>
      </c>
      <c r="D81" s="20"/>
    </row>
    <row r="82" spans="2:6" x14ac:dyDescent="0.3">
      <c r="B82" s="38">
        <v>42</v>
      </c>
      <c r="C82" s="19">
        <v>0.5</v>
      </c>
      <c r="D82" s="40">
        <v>0.13</v>
      </c>
    </row>
    <row r="83" spans="2:6" x14ac:dyDescent="0.3">
      <c r="B83" s="38">
        <v>41</v>
      </c>
      <c r="C83" s="19">
        <v>0.5</v>
      </c>
      <c r="D83" s="20"/>
    </row>
    <row r="84" spans="2:6" x14ac:dyDescent="0.3">
      <c r="B84" s="38">
        <v>40</v>
      </c>
      <c r="C84" s="19">
        <v>0.5</v>
      </c>
      <c r="D84" s="32">
        <v>0.14000000000000001</v>
      </c>
      <c r="E84" s="34"/>
      <c r="F84" s="34"/>
    </row>
    <row r="85" spans="2:6" x14ac:dyDescent="0.3">
      <c r="B85" s="38">
        <v>39</v>
      </c>
      <c r="C85" s="19">
        <v>0.5</v>
      </c>
      <c r="D85" s="20"/>
    </row>
    <row r="86" spans="2:6" x14ac:dyDescent="0.3">
      <c r="B86" s="38">
        <v>38</v>
      </c>
      <c r="C86" s="19">
        <v>0.5</v>
      </c>
      <c r="D86" s="40">
        <v>0.15</v>
      </c>
    </row>
    <row r="87" spans="2:6" x14ac:dyDescent="0.3">
      <c r="B87" s="38">
        <v>37</v>
      </c>
      <c r="C87" s="19">
        <v>0.5</v>
      </c>
      <c r="D87" s="20"/>
    </row>
    <row r="88" spans="2:6" x14ac:dyDescent="0.3">
      <c r="B88" s="38">
        <v>36</v>
      </c>
      <c r="C88" s="19">
        <v>0.5</v>
      </c>
      <c r="D88" s="40">
        <v>0.16</v>
      </c>
    </row>
    <row r="89" spans="2:6" x14ac:dyDescent="0.3">
      <c r="B89" s="38">
        <v>35</v>
      </c>
      <c r="C89" s="19">
        <v>0.5</v>
      </c>
      <c r="D89" s="33"/>
      <c r="E89" s="34"/>
      <c r="F89" s="34"/>
    </row>
    <row r="90" spans="2:6" x14ac:dyDescent="0.3">
      <c r="B90" s="38">
        <v>34</v>
      </c>
      <c r="C90" s="19">
        <v>0.5</v>
      </c>
      <c r="D90" s="40">
        <v>0.17</v>
      </c>
    </row>
    <row r="91" spans="2:6" x14ac:dyDescent="0.3">
      <c r="B91" s="38">
        <v>33</v>
      </c>
      <c r="C91" s="19">
        <v>0.5</v>
      </c>
      <c r="D91" s="20"/>
    </row>
    <row r="92" spans="2:6" x14ac:dyDescent="0.3">
      <c r="B92" s="38">
        <v>32</v>
      </c>
      <c r="C92" s="19">
        <v>0.5</v>
      </c>
      <c r="D92" s="40">
        <v>0.18</v>
      </c>
    </row>
    <row r="93" spans="2:6" x14ac:dyDescent="0.3">
      <c r="B93" s="38">
        <v>31</v>
      </c>
      <c r="C93" s="19">
        <v>0.5</v>
      </c>
      <c r="D93" s="20"/>
    </row>
    <row r="94" spans="2:6" ht="15" thickBot="1" x14ac:dyDescent="0.35">
      <c r="B94" s="41">
        <v>30</v>
      </c>
      <c r="C94" s="36">
        <v>0.5</v>
      </c>
      <c r="D94" s="29">
        <v>0.19</v>
      </c>
      <c r="E94" s="26"/>
      <c r="F94" s="26"/>
    </row>
    <row r="95" spans="2:6" ht="15" thickBot="1" x14ac:dyDescent="0.35"/>
    <row r="96" spans="2:6" ht="17.399999999999999" x14ac:dyDescent="0.3">
      <c r="B96" s="16" t="s">
        <v>17</v>
      </c>
      <c r="C96" s="42"/>
      <c r="D96" s="43"/>
    </row>
    <row r="97" spans="2:4" ht="15" thickBot="1" x14ac:dyDescent="0.35">
      <c r="B97" s="41">
        <v>29</v>
      </c>
      <c r="C97" s="36">
        <v>70</v>
      </c>
      <c r="D97" s="44">
        <v>0.3</v>
      </c>
    </row>
  </sheetData>
  <mergeCells count="9">
    <mergeCell ref="B24:C24"/>
    <mergeCell ref="B46:C46"/>
    <mergeCell ref="B49:C49"/>
    <mergeCell ref="B73:C73"/>
    <mergeCell ref="B1:G1"/>
    <mergeCell ref="B3:B4"/>
    <mergeCell ref="C3:C4"/>
    <mergeCell ref="E3:E4"/>
    <mergeCell ref="B22:D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Projeção Glosa 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Tamiris Gon�alves</dc:creator>
  <cp:lastModifiedBy>Marcos Vinicius</cp:lastModifiedBy>
  <dcterms:created xsi:type="dcterms:W3CDTF">2025-10-20T19:01:32Z</dcterms:created>
  <dcterms:modified xsi:type="dcterms:W3CDTF">2026-03-02T13:35:19Z</dcterms:modified>
</cp:coreProperties>
</file>